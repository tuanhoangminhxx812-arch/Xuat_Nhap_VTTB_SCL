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 TCKT_PCVT\2.SCL\2026\Báo cáo\Xuat_Nhap_VTTB_SCL\"/>
    </mc:Choice>
  </mc:AlternateContent>
  <xr:revisionPtr revIDLastSave="0" documentId="8_{51C84CBA-D384-496E-9B8B-B2A36FB75684}" xr6:coauthVersionLast="47" xr6:coauthVersionMax="47" xr10:uidLastSave="{00000000-0000-0000-0000-000000000000}"/>
  <bookViews>
    <workbookView xWindow="-108" yWindow="-108" windowWidth="30936" windowHeight="16776" xr2:uid="{1FA3007C-ACC6-419E-8BA4-3F0ED502F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G13" i="1" s="1"/>
  <c r="F12" i="1"/>
  <c r="G12" i="1" s="1"/>
  <c r="E14" i="1"/>
  <c r="C8" i="1" s="1"/>
  <c r="F14" i="1" l="1"/>
  <c r="G14" i="1" l="1"/>
</calcChain>
</file>

<file path=xl/sharedStrings.xml><?xml version="1.0" encoding="utf-8"?>
<sst xmlns="http://schemas.openxmlformats.org/spreadsheetml/2006/main" count="22" uniqueCount="21">
  <si>
    <t>TÁCH CHI PHÍ SCL - KHÂU BÁN LẺ</t>
  </si>
  <si>
    <t>Tổng số tiền trước thuế:</t>
  </si>
  <si>
    <t>Thuế GTGT:</t>
  </si>
  <si>
    <t>Tổng tiền thanh toán:</t>
  </si>
  <si>
    <t>STT</t>
  </si>
  <si>
    <t>Tên công trình</t>
  </si>
  <si>
    <t>Mã CT</t>
  </si>
  <si>
    <t>Tổng CP</t>
  </si>
  <si>
    <t>Khâu phân phối (80.79%)</t>
  </si>
  <si>
    <t>Khâu bán lẻ 19.21%</t>
  </si>
  <si>
    <t>Ghi chú</t>
  </si>
  <si>
    <t>TK: 627611-1310-610</t>
  </si>
  <si>
    <t>TK: 627611-1320-610</t>
  </si>
  <si>
    <t>VTAD2606001 - Sửa chữa lớn TSCĐ hệ thống đo đếm trên địa bàn Công ty Điện Lực Vũng Tàu năm 2026 - Phần bảo trì TU, TI</t>
  </si>
  <si>
    <t>Trung thế</t>
  </si>
  <si>
    <t>Hạ thế</t>
  </si>
  <si>
    <t>GL_............ ngày     /       /2026</t>
  </si>
  <si>
    <t>VTAD2606001</t>
  </si>
  <si>
    <t>Trung-Hạ thế</t>
  </si>
  <si>
    <t>Căn cứ công văn 3379/EVNHCMC-TCKT ngày 14/8/2025 V/v tỷ lệ phân bổ chi phí dùng chung khâu phân phối và khâu kinh doanh bán lẻ điện áp dụng 6TCN 2025.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</si>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</sst>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00_);_(* \(#,##0.0000\);_(* &quot;-&quot;??_);_(@_)"/>
    <numFmt numFmtId="165" formatCode="_(* #,##0_);_(* \(#,##0\);_(* &quot;-&quot;??_);_(@_)"/>
    <numFmt numFmtId="166" formatCode="_(* #,##0.00_);_(* \(#,##0.00\);_(* &quot;-&quot;??_);_(@_)"/>
  </numFmts>
  <fonts count="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3"/>
      <color theme="1"/>
      <name val="Times New Roman"/>
      <family val="1"/>
    </font>
    <font>
      <b/>
      <sz val="15"/>
      <color theme="1"/>
      <name val="Times New Roman"/>
      <family val="1"/>
    </font>
    <font>
      <b/>
      <sz val="13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0" borderId="0" xfId="1" applyNumberFormat="1" applyFont="1" applyAlignment="1">
      <alignment vertical="center" wrapText="1"/>
    </xf>
    <xf numFmtId="165" fontId="2" fillId="0" borderId="0" xfId="1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65" fontId="2" fillId="0" borderId="0" xfId="1" applyNumberFormat="1" applyFont="1" applyAlignment="1">
      <alignment horizontal="left" vertical="center"/>
    </xf>
    <xf numFmtId="165" fontId="2" fillId="0" borderId="0" xfId="1" applyNumberFormat="1" applyFont="1" applyAlignment="1">
      <alignment horizontal="left" vertical="center" wrapText="1"/>
    </xf>
    <xf numFmtId="165" fontId="5" fillId="0" borderId="0" xfId="1" applyNumberFormat="1" applyFont="1" applyBorder="1" applyAlignment="1">
      <alignment horizontal="left" vertical="center"/>
    </xf>
    <xf numFmtId="165" fontId="2" fillId="0" borderId="0" xfId="1" applyNumberFormat="1" applyFont="1" applyBorder="1" applyAlignment="1">
      <alignment vertical="center" wrapText="1"/>
    </xf>
    <xf numFmtId="165" fontId="2" fillId="0" borderId="0" xfId="1" applyNumberFormat="1" applyFont="1" applyBorder="1" applyAlignment="1">
      <alignment horizontal="right" vertical="center"/>
    </xf>
    <xf numFmtId="164" fontId="2" fillId="0" borderId="0" xfId="1" applyNumberFormat="1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65" fontId="2" fillId="0" borderId="1" xfId="1" applyNumberFormat="1" applyFont="1" applyBorder="1" applyAlignment="1">
      <alignment vertical="center" wrapText="1"/>
    </xf>
    <xf numFmtId="165" fontId="2" fillId="0" borderId="1" xfId="0" applyNumberFormat="1" applyFont="1" applyBorder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vertical="center"/>
    </xf>
    <xf numFmtId="165" fontId="4" fillId="0" borderId="1" xfId="1" applyNumberFormat="1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 wrapText="1"/>
    </xf>
    <xf numFmtId="165" fontId="2" fillId="0" borderId="0" xfId="0" applyNumberFormat="1" applyFont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5" fontId="2" fillId="0" borderId="1" xfId="1" applyNumberFormat="1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7E1A-BC88-4DC5-90C4-D52A253813A4}">
  <dimension ref="A1:J15"/>
  <sheetViews>
    <sheetView tabSelected="1" workbookViewId="0">
      <selection activeCell="D23" sqref="D23"/>
    </sheetView>
  </sheetViews>
  <sheetFormatPr defaultColWidth="8.19921875" defaultRowHeight="16.8" x14ac:dyDescent="0.3"/>
  <cols>
    <col min="1" max="1" width="5.8984375" style="1" customWidth="1"/>
    <col min="2" max="2" width="34.19921875" style="1" customWidth="1"/>
    <col min="3" max="4" width="15.59765625" style="1" customWidth="1"/>
    <col min="5" max="5" width="13.296875" style="3" bestFit="1" customWidth="1"/>
    <col min="6" max="6" width="23.69921875" style="4" bestFit="1" customWidth="1"/>
    <col min="7" max="7" width="24.19921875" style="4" customWidth="1"/>
    <col min="8" max="8" width="15.8984375" style="1" customWidth="1"/>
    <col min="9" max="9" width="15.3984375" style="2" customWidth="1"/>
    <col min="10" max="10" width="21.296875" style="1" bestFit="1" customWidth="1"/>
    <col min="11" max="16384" width="8.19921875" style="1"/>
  </cols>
  <sheetData>
    <row r="1" spans="1:10" ht="18.600000000000001" x14ac:dyDescent="0.3">
      <c r="B1" s="21" t="s">
        <v>0</v>
      </c>
      <c r="C1" s="21"/>
      <c r="D1" s="21"/>
      <c r="E1" s="21"/>
      <c r="F1" s="21"/>
      <c r="G1" s="21"/>
      <c r="H1" s="21"/>
    </row>
    <row r="2" spans="1:10" x14ac:dyDescent="0.3">
      <c r="A2" s="32" t="s">
        <v>19</v>
      </c>
      <c r="B2" s="32"/>
      <c r="C2" s="32"/>
      <c r="D2" s="32"/>
      <c r="E2" s="32"/>
      <c r="F2" s="32"/>
      <c r="G2" s="32"/>
      <c r="H2" s="32"/>
    </row>
    <row r="5" spans="1:10" ht="19.2" customHeight="1" x14ac:dyDescent="0.3">
      <c r="B5" s="18" t="s">
        <v>16</v>
      </c>
      <c r="C5" s="18"/>
    </row>
    <row r="6" spans="1:10" ht="19.2" customHeight="1" x14ac:dyDescent="0.3">
      <c r="B6" s="29" t="s">
        <v>1</v>
      </c>
      <c r="C6" s="30"/>
      <c r="D6" s="6"/>
      <c r="E6" s="7"/>
      <c r="F6" s="6"/>
    </row>
    <row r="7" spans="1:10" ht="19.2" customHeight="1" x14ac:dyDescent="0.3">
      <c r="B7" s="29" t="s">
        <v>2</v>
      </c>
      <c r="C7" s="29"/>
      <c r="D7" s="5"/>
      <c r="E7" s="7"/>
      <c r="F7" s="6"/>
      <c r="G7" s="8"/>
    </row>
    <row r="8" spans="1:10" ht="19.2" customHeight="1" x14ac:dyDescent="0.3">
      <c r="B8" s="29" t="s">
        <v>3</v>
      </c>
      <c r="C8" s="31">
        <f>E14</f>
        <v>31030578</v>
      </c>
      <c r="D8" s="23"/>
      <c r="E8" s="7"/>
      <c r="F8" s="6"/>
    </row>
    <row r="9" spans="1:10" x14ac:dyDescent="0.3">
      <c r="E9" s="9"/>
      <c r="F9" s="10"/>
      <c r="G9" s="10"/>
      <c r="I9" s="11"/>
    </row>
    <row r="10" spans="1:10" x14ac:dyDescent="0.3">
      <c r="A10" s="20" t="s">
        <v>4</v>
      </c>
      <c r="B10" s="20" t="s">
        <v>5</v>
      </c>
      <c r="C10" s="20" t="s">
        <v>6</v>
      </c>
      <c r="D10" s="22" t="s">
        <v>18</v>
      </c>
      <c r="E10" s="22" t="s">
        <v>7</v>
      </c>
      <c r="F10" s="13" t="s">
        <v>8</v>
      </c>
      <c r="G10" s="13" t="s">
        <v>9</v>
      </c>
      <c r="H10" s="20" t="s">
        <v>10</v>
      </c>
    </row>
    <row r="11" spans="1:10" x14ac:dyDescent="0.3">
      <c r="A11" s="20"/>
      <c r="B11" s="20"/>
      <c r="C11" s="20"/>
      <c r="D11" s="22"/>
      <c r="E11" s="22"/>
      <c r="F11" s="13" t="s">
        <v>11</v>
      </c>
      <c r="G11" s="13" t="s">
        <v>12</v>
      </c>
      <c r="H11" s="20"/>
    </row>
    <row r="12" spans="1:10" x14ac:dyDescent="0.3">
      <c r="A12" s="24">
        <v>1</v>
      </c>
      <c r="B12" s="33" t="s">
        <v>13</v>
      </c>
      <c r="C12" s="14" t="s">
        <v>17</v>
      </c>
      <c r="D12" s="18" t="s">
        <v>14</v>
      </c>
      <c r="E12" s="15">
        <v>320378409</v>
      </c>
      <c r="F12" s="13">
        <f>E12*80.79%</f>
        <v>258833716.63110003</v>
      </c>
      <c r="G12" s="13">
        <f>E12-F12</f>
        <v>61544692.368899971</v>
      </c>
      <c r="H12" s="12"/>
    </row>
    <row r="13" spans="1:10" ht="21" customHeight="1" x14ac:dyDescent="0.3">
      <c r="A13" s="25"/>
      <c r="B13" s="34"/>
      <c r="C13" s="14" t="s">
        <v>17</v>
      </c>
      <c r="D13" s="18" t="s">
        <v>15</v>
      </c>
      <c r="E13" s="15">
        <v>31030578</v>
      </c>
      <c r="F13" s="13">
        <f>E13*80.79%</f>
        <v>25069603.966200002</v>
      </c>
      <c r="G13" s="13">
        <f>E13-F13</f>
        <v>5960974.0337999985</v>
      </c>
      <c r="H13" s="16"/>
      <c r="J13" s="17"/>
    </row>
    <row r="14" spans="1:10" s="2" customFormat="1" x14ac:dyDescent="0.3">
      <c r="A14" s="26" t="s">
        <v>20</v>
      </c>
      <c r="B14" s="27"/>
      <c r="C14" s="27"/>
      <c r="D14" s="28"/>
      <c r="E14" s="19">
        <f>SUM(E13:E13)</f>
        <v>31030578</v>
      </c>
      <c r="F14" s="19">
        <f>SUM(F13:F13)</f>
        <v>25069603.966200002</v>
      </c>
      <c r="G14" s="19">
        <f>SUM(G13:G13)</f>
        <v>5960974.0337999985</v>
      </c>
      <c r="H14" s="18"/>
      <c r="J14" s="1"/>
    </row>
    <row r="15" spans="1:10" s="2" customFormat="1" x14ac:dyDescent="0.3">
      <c r="A15" s="1"/>
      <c r="B15" s="1"/>
      <c r="C15" s="1"/>
      <c r="D15" s="1"/>
      <c r="E15" s="3"/>
      <c r="F15" s="4"/>
      <c r="G15" s="4"/>
      <c r="H15" s="1"/>
      <c r="J15" s="1"/>
    </row>
  </sheetData>
  <mergeCells count="11">
    <mergeCell ref="A14:D14"/>
    <mergeCell ref="A12:A13"/>
    <mergeCell ref="B12:B13"/>
    <mergeCell ref="D10:D11"/>
    <mergeCell ref="A2:H2"/>
    <mergeCell ref="B1:H1"/>
    <mergeCell ref="H10:H11"/>
    <mergeCell ref="A10:A11"/>
    <mergeCell ref="B10:B11"/>
    <mergeCell ref="C10:C11"/>
    <mergeCell ref="E10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HOANG MINH</dc:creator>
  <cp:lastModifiedBy>TUAN HOANG MINH</cp:lastModifiedBy>
  <dcterms:created xsi:type="dcterms:W3CDTF">2026-05-05T03:18:41Z</dcterms:created>
  <dcterms:modified xsi:type="dcterms:W3CDTF">2026-06-01T04:41:54Z</dcterms:modified>
</cp:coreProperties>
</file>
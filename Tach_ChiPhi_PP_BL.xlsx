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10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  <font>
      <name val="Times New Roman"/>
      <i val="1"/>
      <color rgb="007B3F00"/>
      <sz val="11"/>
    </font>
    <font>
      <name val="Times New Roman"/>
      <b val="1"/>
      <i val="1"/>
      <color rgb="00C0392B"/>
      <sz val="11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D580"/>
      </patternFill>
    </fill>
    <fill>
      <patternFill patternType="solid">
        <fgColor rgb="00FFB34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/>
    <xf numFmtId="43" fontId="1" fillId="0" borderId="0"/>
  </cellStyleXfs>
  <cellXfs count="5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  <xf numFmtId="0" fontId="8" fillId="3" borderId="11" applyAlignment="1" pivotButton="0" quotePrefix="0" xfId="0">
      <alignment horizontal="left" vertical="center" wrapText="1"/>
    </xf>
    <xf numFmtId="0" fontId="8" fillId="3" borderId="11" applyAlignment="1" pivotButton="0" quotePrefix="0" xfId="0">
      <alignment horizontal="center" vertical="center"/>
    </xf>
    <xf numFmtId="165" fontId="9" fillId="3" borderId="11" applyAlignment="1" pivotButton="0" quotePrefix="0" xfId="0">
      <alignment horizontal="right" vertical="center"/>
    </xf>
    <xf numFmtId="0" fontId="8" fillId="4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/>
    </xf>
    <xf numFmtId="165" fontId="9" fillId="4" borderId="11" applyAlignment="1" pivotButton="0" quotePrefix="0" xfId="0">
      <alignment horizontal="right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-29678743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320378409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-9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E19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78353650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-30</v>
      </c>
      <c r="F16" s="47">
        <f>E16*80.79%</f>
        <v/>
      </c>
      <c r="G16" s="47">
        <f>E16-F16</f>
        <v/>
      </c>
    </row>
    <row r="17">
      <c r="A17" s="36" t="n">
        <v>3</v>
      </c>
      <c r="B17" s="37" t="inlineStr">
        <is>
          <t>VTAD2606002 - Sửa chữa lớn FCO, LA năm 2026</t>
        </is>
      </c>
      <c r="C17" s="14" t="inlineStr">
        <is>
          <t>VTAD2606002</t>
        </is>
      </c>
      <c r="D17" s="18" t="inlineStr">
        <is>
          <t>Trung thế</t>
        </is>
      </c>
      <c r="E17" s="38" t="n">
        <v>172480327</v>
      </c>
      <c r="F17" s="39">
        <f>E17*80.79%</f>
        <v/>
      </c>
      <c r="G17" s="39">
        <f>E17-F17</f>
        <v/>
      </c>
      <c r="H17" s="20" t="n"/>
    </row>
    <row r="18">
      <c r="A18" s="40" t="n"/>
      <c r="B18" s="40" t="n"/>
      <c r="C18" s="14" t="inlineStr">
        <is>
          <t>VTAD2606002</t>
        </is>
      </c>
      <c r="D18" s="18" t="inlineStr">
        <is>
          <t>Hạ thế</t>
        </is>
      </c>
      <c r="E18" s="38" t="n">
        <v>0</v>
      </c>
      <c r="F18" s="39">
        <f>E18*80.79%</f>
        <v/>
      </c>
      <c r="G18" s="39">
        <f>E18-F18</f>
        <v/>
      </c>
      <c r="H18" s="16" t="n"/>
    </row>
    <row r="19">
      <c r="A19" s="41" t="inlineStr">
        <is>
          <t>Tổng cộng</t>
        </is>
      </c>
      <c r="B19" s="42" t="n"/>
      <c r="C19" s="42" t="n"/>
      <c r="D19" s="43" t="n"/>
      <c r="E19" s="44">
        <f>SUM(E12:E18)</f>
        <v/>
      </c>
      <c r="F19" s="44">
        <f>SUM(F12:F18)</f>
        <v/>
      </c>
      <c r="G19" s="44">
        <f>SUM(G12:G18)</f>
        <v/>
      </c>
      <c r="H19" s="18" t="n"/>
    </row>
  </sheetData>
  <mergeCells count="15">
    <mergeCell ref="D10:D11"/>
    <mergeCell ref="B1:H1"/>
    <mergeCell ref="B12:B13"/>
    <mergeCell ref="A12:A13"/>
    <mergeCell ref="A17:A18"/>
    <mergeCell ref="A2:H2"/>
    <mergeCell ref="A10:A11"/>
    <mergeCell ref="B17:B18"/>
    <mergeCell ref="B14:B15"/>
    <mergeCell ref="A19:D19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E21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69891202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220388896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672123823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38379478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-8</v>
      </c>
      <c r="F16" s="47">
        <f>E16*80.79%</f>
        <v/>
      </c>
      <c r="G16" s="47">
        <f>E16-F16</f>
        <v/>
      </c>
    </row>
    <row r="17">
      <c r="A17" s="48" t="n"/>
      <c r="B17" s="48" t="n"/>
      <c r="C17" s="49" t="inlineStr">
        <is>
          <t>VTAD2606001</t>
        </is>
      </c>
      <c r="D17" s="49" t="inlineStr">
        <is>
          <t>Hạ thế</t>
        </is>
      </c>
      <c r="E17" s="50" t="n">
        <v>-106</v>
      </c>
      <c r="F17" s="50">
        <f>E17*80.79%</f>
        <v/>
      </c>
      <c r="G17" s="50">
        <f>E17-F17</f>
        <v/>
      </c>
    </row>
    <row r="18">
      <c r="A18" s="36" t="n">
        <v>3</v>
      </c>
      <c r="B18" s="37" t="inlineStr">
        <is>
          <t>VTAD2606002 - Sửa chữa lớn FCO, LA năm 2026</t>
        </is>
      </c>
      <c r="C18" s="14" t="inlineStr">
        <is>
          <t>VTAD2606002</t>
        </is>
      </c>
      <c r="D18" s="18" t="inlineStr">
        <is>
          <t>Trung thế</t>
        </is>
      </c>
      <c r="E18" s="38" t="n">
        <v>64792258</v>
      </c>
      <c r="F18" s="39">
        <f>E18*80.79%</f>
        <v/>
      </c>
      <c r="G18" s="39">
        <f>E18-F18</f>
        <v/>
      </c>
      <c r="H18" s="20" t="n"/>
    </row>
    <row r="19">
      <c r="A19" s="40" t="n"/>
      <c r="B19" s="40" t="n"/>
      <c r="C19" s="14" t="inlineStr">
        <is>
          <t>VTAD2606002</t>
        </is>
      </c>
      <c r="D19" s="18" t="inlineStr">
        <is>
          <t>Hạ thế</t>
        </is>
      </c>
      <c r="E19" s="38" t="n">
        <v>0</v>
      </c>
      <c r="F19" s="39">
        <f>E19*80.79%</f>
        <v/>
      </c>
      <c r="G19" s="39">
        <f>E19-F19</f>
        <v/>
      </c>
      <c r="H19" s="16" t="n"/>
    </row>
    <row r="20">
      <c r="A20" s="45" t="n"/>
      <c r="B20" s="45" t="inlineStr">
        <is>
          <t>Thu hồi VTTB</t>
        </is>
      </c>
      <c r="C20" s="46" t="inlineStr">
        <is>
          <t>VTAD2606002</t>
        </is>
      </c>
      <c r="D20" s="46" t="inlineStr">
        <is>
          <t>Trung thế</t>
        </is>
      </c>
      <c r="E20" s="47" t="n">
        <v>-138000</v>
      </c>
      <c r="F20" s="47">
        <f>E20*80.79%</f>
        <v/>
      </c>
      <c r="G20" s="47">
        <f>E20-F20</f>
        <v/>
      </c>
    </row>
    <row r="21">
      <c r="A21" s="41" t="inlineStr">
        <is>
          <t>Tổng cộng</t>
        </is>
      </c>
      <c r="B21" s="42" t="n"/>
      <c r="C21" s="42" t="n"/>
      <c r="D21" s="43" t="n"/>
      <c r="E21" s="44">
        <f>SUM(E12:E20)</f>
        <v/>
      </c>
      <c r="F21" s="44">
        <f>SUM(F12:F20)</f>
        <v/>
      </c>
      <c r="G21" s="44">
        <f>SUM(G12:G20)</f>
        <v/>
      </c>
      <c r="H21" s="18" t="n"/>
    </row>
  </sheetData>
  <mergeCells count="15">
    <mergeCell ref="D10:D11"/>
    <mergeCell ref="B1:H1"/>
    <mergeCell ref="B12:B13"/>
    <mergeCell ref="A12:A13"/>
    <mergeCell ref="B18:B19"/>
    <mergeCell ref="A2:H2"/>
    <mergeCell ref="A21:D21"/>
    <mergeCell ref="A10:A11"/>
    <mergeCell ref="A18:A19"/>
    <mergeCell ref="B14:B15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2026-06-03T09:46:51Z</dcterms:modified>
  <cp:lastModifiedBy>TUAN HOANG MINH</cp:lastModifiedBy>
</cp:coreProperties>
</file>
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  <sheet xmlns:r="http://schemas.openxmlformats.org/officeDocument/2006/relationships" name="Tháng 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000_);_(* \(#,##0.0000\);_(* &quot;-&quot;??_);_(@_)"/>
    <numFmt numFmtId="165" formatCode="_(* #,##0_);_(* \(#,##0\);_(* &quot;-&quot;??_);_(@_)"/>
  </numFmts>
  <fonts count="8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theme="1"/>
      <sz val="13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4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 wrapText="1"/>
    </xf>
    <xf numFmtId="165" fontId="2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horizontal="left" vertical="center" wrapText="1"/>
    </xf>
    <xf numFmtId="165" fontId="5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vertical="center" wrapText="1"/>
    </xf>
    <xf numFmtId="165" fontId="2" fillId="0" borderId="0" applyAlignment="1" pivotButton="0" quotePrefix="0" xfId="1">
      <alignment horizontal="right" vertical="center"/>
    </xf>
    <xf numFmtId="164" fontId="2" fillId="0" borderId="0" applyAlignment="1" pivotButton="0" quotePrefix="0" xfId="1">
      <alignment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1">
      <alignment vertical="center" wrapText="1"/>
    </xf>
    <xf numFmtId="165" fontId="2" fillId="0" borderId="1" applyAlignment="1" pivotButton="0" quotePrefix="0" xfId="0">
      <alignment vertical="center"/>
    </xf>
    <xf numFmtId="43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4" fillId="0" borderId="1" applyAlignment="1" pivotButton="0" quotePrefix="0" xfId="1">
      <alignment vertical="center" wrapText="1"/>
    </xf>
    <xf numFmtId="0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6" fillId="0" borderId="1" applyAlignment="1" pivotButton="0" quotePrefix="0" xfId="1">
      <alignment horizontal="center" vertical="center" wrapText="1"/>
    </xf>
    <xf numFmtId="165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1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/>
    </xf>
    <xf numFmtId="0" fontId="1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165" fontId="4" fillId="0" borderId="1" applyAlignment="1" pivotButton="0" quotePrefix="0" xfId="0">
      <alignment vertical="center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01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E14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25078749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24903940</v>
      </c>
      <c r="F13" s="39">
        <f>E13*80.79%</f>
        <v/>
      </c>
      <c r="G13" s="39">
        <f>E13-F13</f>
        <v/>
      </c>
      <c r="H13" s="16" t="n"/>
    </row>
    <row r="14" customFormat="1" s="11">
      <c r="A14" s="41" t="inlineStr">
        <is>
          <t>Tổng cộng</t>
        </is>
      </c>
      <c r="B14" s="42" t="n"/>
      <c r="C14" s="42" t="n"/>
      <c r="D14" s="43" t="n"/>
      <c r="E14" s="44">
        <f>SUM(E12:E13)</f>
        <v/>
      </c>
      <c r="F14" s="44">
        <f>SUM(F12:F13)</f>
        <v/>
      </c>
      <c r="G14" s="44">
        <f>SUM(G12:G13)</f>
        <v/>
      </c>
      <c r="H14" s="18" t="n"/>
    </row>
    <row r="15" customFormat="1" s="11"/>
  </sheetData>
  <mergeCells count="11">
    <mergeCell ref="D10:D11"/>
    <mergeCell ref="B1:H1"/>
    <mergeCell ref="B12:B13"/>
    <mergeCell ref="A12:A13"/>
    <mergeCell ref="A2:H2"/>
    <mergeCell ref="A10:A11"/>
    <mergeCell ref="C10:C11"/>
    <mergeCell ref="B10:B11"/>
    <mergeCell ref="E10:E11"/>
    <mergeCell ref="H10:H1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02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E15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919245580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26596559</v>
      </c>
      <c r="F13" s="39">
        <f>E13*80.79%</f>
        <v/>
      </c>
      <c r="G13" s="39">
        <f>E13-F13</f>
        <v/>
      </c>
      <c r="H13" s="16" t="n"/>
    </row>
    <row r="14" customFormat="1" s="11">
      <c r="A14" s="40" t="n"/>
      <c r="B14" s="40" t="n"/>
      <c r="C14" s="14" t="inlineStr">
        <is>
          <t>VTAD2606001</t>
        </is>
      </c>
      <c r="D14" s="18" t="inlineStr">
        <is>
          <t>Hoàn nhập - Trung thế</t>
        </is>
      </c>
      <c r="E14" s="38" t="n">
        <v>-29678743</v>
      </c>
      <c r="F14" s="39">
        <f>E14*80.79%</f>
        <v/>
      </c>
      <c r="G14" s="39">
        <f>E14-F14</f>
        <v/>
      </c>
      <c r="H14" s="16" t="n"/>
    </row>
    <row r="15" customFormat="1" s="11">
      <c r="A15" s="41" t="inlineStr">
        <is>
          <t>Tổng cộng</t>
        </is>
      </c>
      <c r="B15" s="42" t="n"/>
      <c r="C15" s="42" t="n"/>
      <c r="D15" s="43" t="n"/>
      <c r="E15" s="44">
        <f>SUM(E12:E14)</f>
        <v/>
      </c>
      <c r="F15" s="44">
        <f>SUM(F12:F14)</f>
        <v/>
      </c>
      <c r="G15" s="44">
        <f>SUM(G12:G14)</f>
        <v/>
      </c>
      <c r="H15" s="18" t="n"/>
    </row>
  </sheetData>
  <mergeCells count="11">
    <mergeCell ref="A12:A14"/>
    <mergeCell ref="D10:D11"/>
    <mergeCell ref="B1:H1"/>
    <mergeCell ref="B12:B14"/>
    <mergeCell ref="A2:H2"/>
    <mergeCell ref="A10:A11"/>
    <mergeCell ref="A15:D15"/>
    <mergeCell ref="C10:C11"/>
    <mergeCell ref="B10:B11"/>
    <mergeCell ref="E10:E11"/>
    <mergeCell ref="H10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03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E15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320378409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31030578</v>
      </c>
      <c r="F13" s="39">
        <f>E13*80.79%</f>
        <v/>
      </c>
      <c r="G13" s="39">
        <f>E13-F13</f>
        <v/>
      </c>
      <c r="H13" s="16" t="n"/>
    </row>
    <row r="14" customFormat="1" s="11">
      <c r="A14" s="40" t="n"/>
      <c r="B14" s="40" t="n"/>
      <c r="C14" s="14" t="inlineStr">
        <is>
          <t>VTAD2606001</t>
        </is>
      </c>
      <c r="D14" s="18" t="inlineStr">
        <is>
          <t>Hoàn nhập - Trung thế</t>
        </is>
      </c>
      <c r="E14" s="38" t="n">
        <v>-9</v>
      </c>
      <c r="F14" s="39">
        <f>E14*80.79%</f>
        <v/>
      </c>
      <c r="G14" s="39">
        <f>E14-F14</f>
        <v/>
      </c>
      <c r="H14" s="16" t="n"/>
    </row>
    <row r="15" customFormat="1" s="11">
      <c r="A15" s="41" t="inlineStr">
        <is>
          <t>Tổng cộng</t>
        </is>
      </c>
      <c r="B15" s="42" t="n"/>
      <c r="C15" s="42" t="n"/>
      <c r="D15" s="43" t="n"/>
      <c r="E15" s="44">
        <f>SUM(E12:E14)</f>
        <v/>
      </c>
      <c r="F15" s="44">
        <f>SUM(F12:F14)</f>
        <v/>
      </c>
      <c r="G15" s="44">
        <f>SUM(G12:G14)</f>
        <v/>
      </c>
      <c r="H15" s="18" t="n"/>
    </row>
  </sheetData>
  <mergeCells count="11">
    <mergeCell ref="A12:A14"/>
    <mergeCell ref="D10:D11"/>
    <mergeCell ref="B1:H1"/>
    <mergeCell ref="B12:B14"/>
    <mergeCell ref="A2:H2"/>
    <mergeCell ref="A10:A11"/>
    <mergeCell ref="A15:D15"/>
    <mergeCell ref="C10:C11"/>
    <mergeCell ref="B10:B11"/>
    <mergeCell ref="E10:E11"/>
    <mergeCell ref="H10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04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E19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VTAD2605001 - Sửa chữa lớn đường dây trung hạ thế, trạm biến áp năm 2026</t>
        </is>
      </c>
      <c r="C12" s="14" t="inlineStr">
        <is>
          <t>VTAD2605001</t>
        </is>
      </c>
      <c r="D12" s="18" t="inlineStr">
        <is>
          <t>Trung thế</t>
        </is>
      </c>
      <c r="E12" s="38" t="n">
        <v>23944614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VTAD2605001</t>
        </is>
      </c>
      <c r="D13" s="18" t="inlineStr">
        <is>
          <t>Hạ thế</t>
        </is>
      </c>
      <c r="E13" s="38" t="n">
        <v>85081218</v>
      </c>
      <c r="F13" s="39">
        <f>E13*80.79%</f>
        <v/>
      </c>
      <c r="G13" s="39">
        <f>E13-F13</f>
        <v/>
      </c>
      <c r="H13" s="16" t="n"/>
    </row>
    <row r="14" customFormat="1" s="11">
      <c r="A14" s="36" t="n">
        <v>2</v>
      </c>
      <c r="B14" s="37" t="inlineStr">
        <is>
          <t>VTAD2606001 - Sửa chữa lớn TSCĐ hệ thống đo đếm trên địa bàn Công ty Điện Lực Vũng Tàu năm 2026 - Phần bảo trì TU, TI</t>
        </is>
      </c>
      <c r="C14" s="14" t="inlineStr">
        <is>
          <t>VTAD2606001</t>
        </is>
      </c>
      <c r="D14" s="18" t="inlineStr">
        <is>
          <t>Trung thế</t>
        </is>
      </c>
      <c r="E14" s="38" t="n">
        <v>78353650</v>
      </c>
      <c r="F14" s="39">
        <f>E14*80.79%</f>
        <v/>
      </c>
      <c r="G14" s="39">
        <f>E14-F14</f>
        <v/>
      </c>
      <c r="H14" s="20" t="n"/>
    </row>
    <row r="15" customFormat="1" s="11">
      <c r="A15" s="40" t="n"/>
      <c r="B15" s="40" t="n"/>
      <c r="C15" s="14" t="inlineStr">
        <is>
          <t>VTAD2606001</t>
        </is>
      </c>
      <c r="D15" s="18" t="inlineStr">
        <is>
          <t>Hạ thế</t>
        </is>
      </c>
      <c r="E15" s="38" t="n">
        <v>20141913</v>
      </c>
      <c r="F15" s="39">
        <f>E15*80.79%</f>
        <v/>
      </c>
      <c r="G15" s="39">
        <f>E15-F15</f>
        <v/>
      </c>
      <c r="H15" s="16" t="n"/>
    </row>
    <row r="16">
      <c r="A16" s="40" t="n"/>
      <c r="B16" s="40" t="n"/>
      <c r="C16" s="14" t="inlineStr">
        <is>
          <t>VTAD2606001</t>
        </is>
      </c>
      <c r="D16" s="18" t="inlineStr">
        <is>
          <t>Hoàn nhập - Chưa phân loại</t>
        </is>
      </c>
      <c r="E16" s="38" t="n">
        <v>-30</v>
      </c>
      <c r="F16" s="39">
        <f>E16*80.79%</f>
        <v/>
      </c>
      <c r="G16" s="39">
        <f>E16-F16</f>
        <v/>
      </c>
      <c r="H16" s="16" t="n"/>
    </row>
    <row r="17">
      <c r="A17" s="36" t="n">
        <v>3</v>
      </c>
      <c r="B17" s="37" t="inlineStr">
        <is>
          <t>VTAD2606002 - Sửa chữa lớn FCO, LA năm 2026</t>
        </is>
      </c>
      <c r="C17" s="14" t="inlineStr">
        <is>
          <t>VTAD2606002</t>
        </is>
      </c>
      <c r="D17" s="18" t="inlineStr">
        <is>
          <t>Trung thế</t>
        </is>
      </c>
      <c r="E17" s="38" t="n">
        <v>172480327</v>
      </c>
      <c r="F17" s="39">
        <f>E17*80.79%</f>
        <v/>
      </c>
      <c r="G17" s="39">
        <f>E17-F17</f>
        <v/>
      </c>
      <c r="H17" s="20" t="n"/>
    </row>
    <row r="18">
      <c r="A18" s="40" t="n"/>
      <c r="B18" s="40" t="n"/>
      <c r="C18" s="14" t="inlineStr">
        <is>
          <t>VTAD2606002</t>
        </is>
      </c>
      <c r="D18" s="18" t="inlineStr">
        <is>
          <t>Hạ thế</t>
        </is>
      </c>
      <c r="E18" s="38" t="n">
        <v>0</v>
      </c>
      <c r="F18" s="39">
        <f>E18*80.79%</f>
        <v/>
      </c>
      <c r="G18" s="39">
        <f>E18-F18</f>
        <v/>
      </c>
      <c r="H18" s="16" t="n"/>
    </row>
    <row r="19">
      <c r="A19" s="41" t="inlineStr">
        <is>
          <t>Tổng cộng</t>
        </is>
      </c>
      <c r="B19" s="42" t="n"/>
      <c r="C19" s="42" t="n"/>
      <c r="D19" s="43" t="n"/>
      <c r="E19" s="44">
        <f>SUM(E12:E18)</f>
        <v/>
      </c>
      <c r="F19" s="44">
        <f>SUM(F12:F18)</f>
        <v/>
      </c>
      <c r="G19" s="44">
        <f>SUM(G12:G18)</f>
        <v/>
      </c>
      <c r="H19" s="18" t="n"/>
    </row>
  </sheetData>
  <mergeCells count="15">
    <mergeCell ref="D10:D11"/>
    <mergeCell ref="B1:H1"/>
    <mergeCell ref="B12:B13"/>
    <mergeCell ref="A12:A13"/>
    <mergeCell ref="A17:A18"/>
    <mergeCell ref="A2:H2"/>
    <mergeCell ref="A10:A11"/>
    <mergeCell ref="B17:B18"/>
    <mergeCell ref="B14:B16"/>
    <mergeCell ref="A19:D19"/>
    <mergeCell ref="C10:C11"/>
    <mergeCell ref="B10:B11"/>
    <mergeCell ref="E10:E11"/>
    <mergeCell ref="H10:H11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05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E21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VTAD2605001 - Sửa chữa lớn đường dây trung hạ thế, trạm biến áp năm 2026</t>
        </is>
      </c>
      <c r="C12" s="14" t="inlineStr">
        <is>
          <t>VTAD2605001</t>
        </is>
      </c>
      <c r="D12" s="18" t="inlineStr">
        <is>
          <t>Trung thế</t>
        </is>
      </c>
      <c r="E12" s="38" t="n">
        <v>47715337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VTAD2605001</t>
        </is>
      </c>
      <c r="D13" s="18" t="inlineStr">
        <is>
          <t>Hạ thế</t>
        </is>
      </c>
      <c r="E13" s="38" t="n">
        <v>242564761</v>
      </c>
      <c r="F13" s="39">
        <f>E13*80.79%</f>
        <v/>
      </c>
      <c r="G13" s="39">
        <f>E13-F13</f>
        <v/>
      </c>
      <c r="H13" s="16" t="n"/>
    </row>
    <row r="14" customFormat="1" s="11">
      <c r="A14" s="36" t="n">
        <v>2</v>
      </c>
      <c r="B14" s="37" t="inlineStr">
        <is>
          <t>VTAD2606001 - Sửa chữa lớn TSCĐ hệ thống đo đếm trên địa bàn Công ty Điện Lực Vũng Tàu năm 2026 - Phần bảo trì TU, TI</t>
        </is>
      </c>
      <c r="C14" s="14" t="inlineStr">
        <is>
          <t>VTAD2606001</t>
        </is>
      </c>
      <c r="D14" s="18" t="inlineStr">
        <is>
          <t>Trung thế</t>
        </is>
      </c>
      <c r="E14" s="38" t="n">
        <v>689684187</v>
      </c>
      <c r="F14" s="39">
        <f>E14*80.79%</f>
        <v/>
      </c>
      <c r="G14" s="39">
        <f>E14-F14</f>
        <v/>
      </c>
      <c r="H14" s="20" t="n"/>
    </row>
    <row r="15" customFormat="1" s="11">
      <c r="A15" s="40" t="n"/>
      <c r="B15" s="40" t="n"/>
      <c r="C15" s="14" t="inlineStr">
        <is>
          <t>VTAD2606001</t>
        </is>
      </c>
      <c r="D15" s="18" t="inlineStr">
        <is>
          <t>Hạ thế</t>
        </is>
      </c>
      <c r="E15" s="38" t="n">
        <v>38379478</v>
      </c>
      <c r="F15" s="39">
        <f>E15*80.79%</f>
        <v/>
      </c>
      <c r="G15" s="39">
        <f>E15-F15</f>
        <v/>
      </c>
      <c r="H15" s="16" t="n"/>
    </row>
    <row r="16">
      <c r="A16" s="40" t="n"/>
      <c r="B16" s="40" t="n"/>
      <c r="C16" s="14" t="inlineStr">
        <is>
          <t>VTAD2606001</t>
        </is>
      </c>
      <c r="D16" s="18" t="inlineStr">
        <is>
          <t>Hoàn nhập - Trung thế</t>
        </is>
      </c>
      <c r="E16" s="38" t="n">
        <v>-6</v>
      </c>
      <c r="F16" s="39">
        <f>E16*80.79%</f>
        <v/>
      </c>
      <c r="G16" s="39">
        <f>E16-F16</f>
        <v/>
      </c>
      <c r="H16" s="16" t="n"/>
    </row>
    <row r="17">
      <c r="A17" s="40" t="n"/>
      <c r="B17" s="40" t="n"/>
      <c r="C17" s="14" t="inlineStr">
        <is>
          <t>VTAD2606001</t>
        </is>
      </c>
      <c r="D17" s="18" t="inlineStr">
        <is>
          <t>Hoàn nhập - Chưa phân loại</t>
        </is>
      </c>
      <c r="E17" s="38" t="n">
        <v>-108</v>
      </c>
      <c r="F17" s="39">
        <f>E17*80.79%</f>
        <v/>
      </c>
      <c r="G17" s="39">
        <f>E17-F17</f>
        <v/>
      </c>
      <c r="H17" s="16" t="n"/>
    </row>
    <row r="18">
      <c r="A18" s="36" t="n">
        <v>3</v>
      </c>
      <c r="B18" s="37" t="inlineStr">
        <is>
          <t>VTAD2606002 - Sửa chữa lớn FCO, LA năm 2026</t>
        </is>
      </c>
      <c r="C18" s="14" t="inlineStr">
        <is>
          <t>VTAD2606002</t>
        </is>
      </c>
      <c r="D18" s="18" t="inlineStr">
        <is>
          <t>Trung thế</t>
        </is>
      </c>
      <c r="E18" s="38" t="n">
        <v>64792258</v>
      </c>
      <c r="F18" s="39">
        <f>E18*80.79%</f>
        <v/>
      </c>
      <c r="G18" s="39">
        <f>E18-F18</f>
        <v/>
      </c>
      <c r="H18" s="20" t="n"/>
    </row>
    <row r="19">
      <c r="A19" s="40" t="n"/>
      <c r="B19" s="40" t="n"/>
      <c r="C19" s="14" t="inlineStr">
        <is>
          <t>VTAD2606002</t>
        </is>
      </c>
      <c r="D19" s="18" t="inlineStr">
        <is>
          <t>Hạ thế</t>
        </is>
      </c>
      <c r="E19" s="38" t="n">
        <v>0</v>
      </c>
      <c r="F19" s="39">
        <f>E19*80.79%</f>
        <v/>
      </c>
      <c r="G19" s="39">
        <f>E19-F19</f>
        <v/>
      </c>
      <c r="H19" s="16" t="n"/>
    </row>
    <row r="20">
      <c r="A20" s="40" t="n"/>
      <c r="B20" s="40" t="n"/>
      <c r="C20" s="14" t="inlineStr">
        <is>
          <t>VTAD2606002</t>
        </is>
      </c>
      <c r="D20" s="18" t="inlineStr">
        <is>
          <t>Hoàn nhập - Chưa phân loại</t>
        </is>
      </c>
      <c r="E20" s="38" t="n">
        <v>-138000</v>
      </c>
      <c r="F20" s="39">
        <f>E20*80.79%</f>
        <v/>
      </c>
      <c r="G20" s="39">
        <f>E20-F20</f>
        <v/>
      </c>
      <c r="H20" s="16" t="n"/>
    </row>
    <row r="21">
      <c r="A21" s="41" t="inlineStr">
        <is>
          <t>Tổng cộng</t>
        </is>
      </c>
      <c r="B21" s="42" t="n"/>
      <c r="C21" s="42" t="n"/>
      <c r="D21" s="43" t="n"/>
      <c r="E21" s="44">
        <f>SUM(E12:E20)</f>
        <v/>
      </c>
      <c r="F21" s="44">
        <f>SUM(F12:F20)</f>
        <v/>
      </c>
      <c r="G21" s="44">
        <f>SUM(G12:G20)</f>
        <v/>
      </c>
      <c r="H21" s="18" t="n"/>
    </row>
  </sheetData>
  <mergeCells count="15">
    <mergeCell ref="B18:B20"/>
    <mergeCell ref="B14:B17"/>
    <mergeCell ref="D10:D11"/>
    <mergeCell ref="B1:H1"/>
    <mergeCell ref="B12:B13"/>
    <mergeCell ref="A12:A13"/>
    <mergeCell ref="A2:H2"/>
    <mergeCell ref="A21:D21"/>
    <mergeCell ref="A10:A11"/>
    <mergeCell ref="A14:A17"/>
    <mergeCell ref="C10:C11"/>
    <mergeCell ref="B10:B11"/>
    <mergeCell ref="E10:E11"/>
    <mergeCell ref="H10:H11"/>
    <mergeCell ref="A18:A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ColWidth="8.19921875" defaultRowHeight="16.8"/>
  <cols>
    <col width="5.8984375" customWidth="1" style="1" min="1" max="1"/>
    <col width="34.19921875" customWidth="1" style="1" min="2" max="2"/>
    <col width="15.59765625" customWidth="1" style="1" min="3" max="4"/>
    <col width="13.296875" bestFit="1" customWidth="1" style="9" min="5" max="5"/>
    <col width="23.69921875" bestFit="1" customWidth="1" style="4" min="6" max="6"/>
    <col width="24.19921875" customWidth="1" style="4" min="7" max="7"/>
    <col width="15.8984375" customWidth="1" style="1" min="8" max="8"/>
    <col width="15.3984375" customWidth="1" style="11" min="9" max="9"/>
    <col width="21.296875" bestFit="1" customWidth="1" style="1" min="10" max="10"/>
    <col width="8.19921875" customWidth="1" style="1" min="11" max="16384"/>
  </cols>
  <sheetData>
    <row r="1" ht="18.6" customHeight="1">
      <c r="B1" s="21" t="inlineStr">
        <is>
          <t>TÁCH CHI PHÍ SCL - KHÂU BÁN LẺ</t>
        </is>
      </c>
    </row>
    <row r="2">
      <c r="A2" s="32" t="inlineStr">
        <is>
          <t>Căn cứ công văn 3379/EVNHCMC-TCKT ngày 14/8/2025 V/v tỷ lệ phân bổ chi phí dùng chung khâu phân phối và khâu kinh doanh bán lẻ điện áp dụng 6TCN 2025.</t>
        </is>
      </c>
    </row>
    <row r="5" ht="19.2" customHeight="1">
      <c r="B5" s="18" t="inlineStr">
        <is>
          <t>GL_............ ngày     /   06   /2026</t>
        </is>
      </c>
      <c r="C5" s="18" t="n"/>
    </row>
    <row r="6" ht="19.2" customHeight="1">
      <c r="B6" s="29" t="inlineStr">
        <is>
          <t>Tổng số tiền trước thuế:</t>
        </is>
      </c>
      <c r="C6" s="30" t="n"/>
      <c r="D6" s="6" t="n"/>
      <c r="E6" s="7" t="n"/>
      <c r="F6" s="6" t="n"/>
    </row>
    <row r="7" ht="19.2" customHeight="1">
      <c r="B7" s="29" t="inlineStr">
        <is>
          <t>Thuế GTGT:</t>
        </is>
      </c>
      <c r="C7" s="29" t="n"/>
      <c r="D7" s="5" t="n"/>
      <c r="E7" s="7" t="n"/>
      <c r="F7" s="6" t="n"/>
      <c r="G7" s="8" t="n"/>
    </row>
    <row r="8" ht="19.2" customHeight="1">
      <c r="B8" s="29" t="inlineStr">
        <is>
          <t>Tổng tiền thanh toán:</t>
        </is>
      </c>
      <c r="C8" s="31">
        <f>E15</f>
        <v/>
      </c>
      <c r="D8" s="23" t="n"/>
      <c r="E8" s="7" t="n"/>
      <c r="F8" s="6" t="n"/>
    </row>
    <row r="9">
      <c r="E9" s="9" t="n"/>
      <c r="F9" s="10" t="n"/>
      <c r="G9" s="10" t="n"/>
      <c r="I9" s="11" t="n"/>
    </row>
    <row r="10">
      <c r="A10" s="20" t="inlineStr">
        <is>
          <t>STT</t>
        </is>
      </c>
      <c r="B10" s="20" t="inlineStr">
        <is>
          <t>Tên công trình</t>
        </is>
      </c>
      <c r="C10" s="20" t="inlineStr">
        <is>
          <t>Mã CT</t>
        </is>
      </c>
      <c r="D10" s="22" t="inlineStr">
        <is>
          <t>Trung-Hạ thế</t>
        </is>
      </c>
      <c r="E10" s="22" t="inlineStr">
        <is>
          <t>Tổng CP</t>
        </is>
      </c>
      <c r="F10" s="13" t="inlineStr">
        <is>
          <t>Khâu phân phối (80.79%)</t>
        </is>
      </c>
      <c r="G10" s="13" t="inlineStr">
        <is>
          <t>Khâu bán lẻ 19.21%</t>
        </is>
      </c>
      <c r="H10" s="20" t="inlineStr">
        <is>
          <t>Ghi chú</t>
        </is>
      </c>
    </row>
    <row r="11">
      <c r="A11" s="35" t="n"/>
      <c r="B11" s="35" t="n"/>
      <c r="C11" s="35" t="n"/>
      <c r="D11" s="35" t="n"/>
      <c r="E11" s="35" t="n"/>
      <c r="F11" s="13" t="inlineStr">
        <is>
          <t>TK: 627611-1310-610</t>
        </is>
      </c>
      <c r="G11" s="13" t="inlineStr">
        <is>
          <t>TK: 627611-1320-610</t>
        </is>
      </c>
      <c r="H11" s="35" t="n"/>
    </row>
    <row r="12">
      <c r="A12" s="36" t="n">
        <v>1</v>
      </c>
      <c r="B12" s="37" t="inlineStr">
        <is>
          <t>VTAD2606001 - Sửa chữa lớn TSCĐ hệ thống đo đếm trên địa bàn Công ty Điện Lực Vũng Tàu năm 2026 - Phần bảo trì TU, TI</t>
        </is>
      </c>
      <c r="C12" s="14" t="inlineStr">
        <is>
          <t>VTAD2606001</t>
        </is>
      </c>
      <c r="D12" s="18" t="inlineStr">
        <is>
          <t>Trung thế</t>
        </is>
      </c>
      <c r="E12" s="38" t="n">
        <v>33539989</v>
      </c>
      <c r="F12" s="39">
        <f>E12*80.79%</f>
        <v/>
      </c>
      <c r="G12" s="39">
        <f>E12-F12</f>
        <v/>
      </c>
      <c r="H12" s="20" t="n"/>
    </row>
    <row r="13" ht="21" customHeight="1">
      <c r="A13" s="40" t="n"/>
      <c r="B13" s="40" t="n"/>
      <c r="C13" s="14" t="inlineStr">
        <is>
          <t>VTAD2606001</t>
        </is>
      </c>
      <c r="D13" s="18" t="inlineStr">
        <is>
          <t>Hạ thế</t>
        </is>
      </c>
      <c r="E13" s="38" t="n">
        <v>30794511</v>
      </c>
      <c r="F13" s="39">
        <f>E13*80.79%</f>
        <v/>
      </c>
      <c r="G13" s="39">
        <f>E13-F13</f>
        <v/>
      </c>
      <c r="H13" s="16" t="n"/>
    </row>
    <row r="14" customFormat="1" s="11">
      <c r="A14" s="40" t="n"/>
      <c r="B14" s="40" t="n"/>
      <c r="C14" s="14" t="inlineStr">
        <is>
          <t>VTAD2606001</t>
        </is>
      </c>
      <c r="D14" s="18" t="inlineStr">
        <is>
          <t>Hoàn nhập - Chưa phân loại</t>
        </is>
      </c>
      <c r="E14" s="38" t="n">
        <v>-12</v>
      </c>
      <c r="F14" s="39">
        <f>E14*80.79%</f>
        <v/>
      </c>
      <c r="G14" s="39">
        <f>E14-F14</f>
        <v/>
      </c>
      <c r="H14" s="16" t="n"/>
    </row>
    <row r="15" customFormat="1" s="11">
      <c r="A15" s="41" t="inlineStr">
        <is>
          <t>Tổng cộng</t>
        </is>
      </c>
      <c r="B15" s="42" t="n"/>
      <c r="C15" s="42" t="n"/>
      <c r="D15" s="43" t="n"/>
      <c r="E15" s="44">
        <f>SUM(E12:E14)</f>
        <v/>
      </c>
      <c r="F15" s="44">
        <f>SUM(F12:F14)</f>
        <v/>
      </c>
      <c r="G15" s="44">
        <f>SUM(G12:G14)</f>
        <v/>
      </c>
      <c r="H15" s="18" t="n"/>
    </row>
  </sheetData>
  <mergeCells count="11">
    <mergeCell ref="A12:A14"/>
    <mergeCell ref="D10:D11"/>
    <mergeCell ref="B1:H1"/>
    <mergeCell ref="B12:B14"/>
    <mergeCell ref="A2:H2"/>
    <mergeCell ref="A10:A11"/>
    <mergeCell ref="A15:D15"/>
    <mergeCell ref="C10:C11"/>
    <mergeCell ref="B10:B11"/>
    <mergeCell ref="E10:E11"/>
    <mergeCell ref="H10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HOANG MINH</dc:creator>
  <dcterms:created xmlns:dcterms="http://purl.org/dc/terms/" xmlns:xsi="http://www.w3.org/2001/XMLSchema-instance" xsi:type="dcterms:W3CDTF">2026-05-05T03:18:41Z</dcterms:created>
  <dcterms:modified xmlns:dcterms="http://purl.org/dc/terms/" xmlns:xsi="http://www.w3.org/2001/XMLSchema-instance" xsi:type="dcterms:W3CDTF">2026-08-03T07:48:53Z</dcterms:modified>
  <cp:lastModifiedBy>TUAN HOANG MINH</cp:lastModifiedBy>
</cp:coreProperties>
</file>
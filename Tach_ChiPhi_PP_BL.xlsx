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  <sheet xmlns:r="http://schemas.openxmlformats.org/officeDocument/2006/relationships" name="Tháng 6" sheetId="6" state="visible" r:id="rId6"/>
    <sheet xmlns:r="http://schemas.openxmlformats.org/officeDocument/2006/relationships" name="Tháng 7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8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919245580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0" t="n"/>
      <c r="B14" s="40" t="n"/>
      <c r="C14" s="14" t="inlineStr">
        <is>
          <t>VTAD2606001</t>
        </is>
      </c>
      <c r="D14" s="18" t="inlineStr">
        <is>
          <t>Hoàn nhập - Trung thế</t>
        </is>
      </c>
      <c r="E14" s="38" t="n">
        <v>-29678743</v>
      </c>
      <c r="F14" s="39">
        <f>E14*80.79%</f>
        <v/>
      </c>
      <c r="G14" s="39">
        <f>E14-F14</f>
        <v/>
      </c>
      <c r="H14" s="16" t="n"/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A12:A14"/>
    <mergeCell ref="D10:D11"/>
    <mergeCell ref="B1:H1"/>
    <mergeCell ref="B12:B14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320378418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0" t="n"/>
      <c r="B14" s="40" t="n"/>
      <c r="C14" s="14" t="inlineStr">
        <is>
          <t>VTAD2606001</t>
        </is>
      </c>
      <c r="D14" s="18" t="inlineStr">
        <is>
          <t>Hoàn nhập - Trung thế</t>
        </is>
      </c>
      <c r="E14" s="38" t="n">
        <v>-9</v>
      </c>
      <c r="F14" s="39">
        <f>E14*80.79%</f>
        <v/>
      </c>
      <c r="G14" s="39">
        <f>E14-F14</f>
        <v/>
      </c>
      <c r="H14" s="16" t="n"/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A12:A14"/>
    <mergeCell ref="D10:D11"/>
    <mergeCell ref="B1:H1"/>
    <mergeCell ref="B12:B14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E19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78353679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40" t="n"/>
      <c r="B16" s="40" t="n"/>
      <c r="C16" s="14" t="inlineStr">
        <is>
          <t>VTAD2606001</t>
        </is>
      </c>
      <c r="D16" s="18" t="inlineStr">
        <is>
          <t>Hoàn nhập - Chưa phân loại</t>
        </is>
      </c>
      <c r="E16" s="38" t="n">
        <v>-30</v>
      </c>
      <c r="F16" s="39">
        <f>E16*80.79%</f>
        <v/>
      </c>
      <c r="G16" s="39">
        <f>E16-F16</f>
        <v/>
      </c>
      <c r="H16" s="16" t="n"/>
    </row>
    <row r="17">
      <c r="A17" s="36" t="n">
        <v>3</v>
      </c>
      <c r="B17" s="37" t="inlineStr">
        <is>
          <t>VTAD2606002 - Sửa chữa lớn FCO, LA năm 2026</t>
        </is>
      </c>
      <c r="C17" s="14" t="inlineStr">
        <is>
          <t>VTAD2606002</t>
        </is>
      </c>
      <c r="D17" s="18" t="inlineStr">
        <is>
          <t>Trung thế</t>
        </is>
      </c>
      <c r="E17" s="38" t="n">
        <v>172480327</v>
      </c>
      <c r="F17" s="39">
        <f>E17*80.79%</f>
        <v/>
      </c>
      <c r="G17" s="39">
        <f>E17-F17</f>
        <v/>
      </c>
      <c r="H17" s="20" t="n"/>
    </row>
    <row r="18">
      <c r="A18" s="40" t="n"/>
      <c r="B18" s="40" t="n"/>
      <c r="C18" s="14" t="inlineStr">
        <is>
          <t>VTAD2606002</t>
        </is>
      </c>
      <c r="D18" s="18" t="inlineStr">
        <is>
          <t>Hạ thế</t>
        </is>
      </c>
      <c r="E18" s="38" t="n">
        <v>0</v>
      </c>
      <c r="F18" s="39">
        <f>E18*80.79%</f>
        <v/>
      </c>
      <c r="G18" s="39">
        <f>E18-F18</f>
        <v/>
      </c>
      <c r="H18" s="16" t="n"/>
    </row>
    <row r="19">
      <c r="A19" s="41" t="inlineStr">
        <is>
          <t>Tổng cộng</t>
        </is>
      </c>
      <c r="B19" s="42" t="n"/>
      <c r="C19" s="42" t="n"/>
      <c r="D19" s="43" t="n"/>
      <c r="E19" s="44">
        <f>SUM(E12:E18)</f>
        <v/>
      </c>
      <c r="F19" s="44">
        <f>SUM(F12:F18)</f>
        <v/>
      </c>
      <c r="G19" s="44">
        <f>SUM(G12:G18)</f>
        <v/>
      </c>
      <c r="H19" s="18" t="n"/>
    </row>
  </sheetData>
  <mergeCells count="15">
    <mergeCell ref="D10:D11"/>
    <mergeCell ref="B1:H1"/>
    <mergeCell ref="B12:B13"/>
    <mergeCell ref="A12:A13"/>
    <mergeCell ref="A17:A18"/>
    <mergeCell ref="A2:H2"/>
    <mergeCell ref="A10:A11"/>
    <mergeCell ref="B17:B18"/>
    <mergeCell ref="B14:B16"/>
    <mergeCell ref="A19:D19"/>
    <mergeCell ref="C10:C11"/>
    <mergeCell ref="B10:B11"/>
    <mergeCell ref="E10:E11"/>
    <mergeCell ref="H10:H11"/>
    <mergeCell ref="A14:A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E21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47715337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242564761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689684195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38379584</v>
      </c>
      <c r="F15" s="39">
        <f>E15*80.79%</f>
        <v/>
      </c>
      <c r="G15" s="39">
        <f>E15-F15</f>
        <v/>
      </c>
      <c r="H15" s="16" t="n"/>
    </row>
    <row r="16">
      <c r="A16" s="40" t="n"/>
      <c r="B16" s="40" t="n"/>
      <c r="C16" s="14" t="inlineStr">
        <is>
          <t>VTAD2606001</t>
        </is>
      </c>
      <c r="D16" s="18" t="inlineStr">
        <is>
          <t>Hoàn nhập - Trung thế</t>
        </is>
      </c>
      <c r="E16" s="38" t="n">
        <v>-6</v>
      </c>
      <c r="F16" s="39">
        <f>E16*80.79%</f>
        <v/>
      </c>
      <c r="G16" s="39">
        <f>E16-F16</f>
        <v/>
      </c>
      <c r="H16" s="16" t="n"/>
    </row>
    <row r="17">
      <c r="A17" s="40" t="n"/>
      <c r="B17" s="40" t="n"/>
      <c r="C17" s="14" t="inlineStr">
        <is>
          <t>VTAD2606001</t>
        </is>
      </c>
      <c r="D17" s="18" t="inlineStr">
        <is>
          <t>Hoàn nhập - Chưa phân loại</t>
        </is>
      </c>
      <c r="E17" s="38" t="n">
        <v>-108</v>
      </c>
      <c r="F17" s="39">
        <f>E17*80.79%</f>
        <v/>
      </c>
      <c r="G17" s="39">
        <f>E17-F17</f>
        <v/>
      </c>
      <c r="H17" s="16" t="n"/>
    </row>
    <row r="18">
      <c r="A18" s="36" t="n">
        <v>3</v>
      </c>
      <c r="B18" s="37" t="inlineStr">
        <is>
          <t>VTAD2606002 - Sửa chữa lớn FCO, LA năm 2026</t>
        </is>
      </c>
      <c r="C18" s="14" t="inlineStr">
        <is>
          <t>VTAD2606002</t>
        </is>
      </c>
      <c r="D18" s="18" t="inlineStr">
        <is>
          <t>Trung thế</t>
        </is>
      </c>
      <c r="E18" s="38" t="n">
        <v>64792258</v>
      </c>
      <c r="F18" s="39">
        <f>E18*80.79%</f>
        <v/>
      </c>
      <c r="G18" s="39">
        <f>E18-F18</f>
        <v/>
      </c>
      <c r="H18" s="20" t="n"/>
    </row>
    <row r="19">
      <c r="A19" s="40" t="n"/>
      <c r="B19" s="40" t="n"/>
      <c r="C19" s="14" t="inlineStr">
        <is>
          <t>VTAD2606002</t>
        </is>
      </c>
      <c r="D19" s="18" t="inlineStr">
        <is>
          <t>Hạ thế</t>
        </is>
      </c>
      <c r="E19" s="38" t="n">
        <v>0</v>
      </c>
      <c r="F19" s="39">
        <f>E19*80.79%</f>
        <v/>
      </c>
      <c r="G19" s="39">
        <f>E19-F19</f>
        <v/>
      </c>
      <c r="H19" s="16" t="n"/>
    </row>
    <row r="20">
      <c r="A20" s="40" t="n"/>
      <c r="B20" s="40" t="n"/>
      <c r="C20" s="14" t="inlineStr">
        <is>
          <t>VTAD2606002</t>
        </is>
      </c>
      <c r="D20" s="18" t="inlineStr">
        <is>
          <t>Hoàn nhập - Chưa phân loại</t>
        </is>
      </c>
      <c r="E20" s="38" t="n">
        <v>-138000</v>
      </c>
      <c r="F20" s="39">
        <f>E20*80.79%</f>
        <v/>
      </c>
      <c r="G20" s="39">
        <f>E20-F20</f>
        <v/>
      </c>
      <c r="H20" s="16" t="n"/>
    </row>
    <row r="21">
      <c r="A21" s="41" t="inlineStr">
        <is>
          <t>Tổng cộng</t>
        </is>
      </c>
      <c r="B21" s="42" t="n"/>
      <c r="C21" s="42" t="n"/>
      <c r="D21" s="43" t="n"/>
      <c r="E21" s="44">
        <f>SUM(E12:E20)</f>
        <v/>
      </c>
      <c r="F21" s="44">
        <f>SUM(F12:F20)</f>
        <v/>
      </c>
      <c r="G21" s="44">
        <f>SUM(G12:G20)</f>
        <v/>
      </c>
      <c r="H21" s="18" t="n"/>
    </row>
  </sheetData>
  <mergeCells count="15">
    <mergeCell ref="B18:B20"/>
    <mergeCell ref="B14:B17"/>
    <mergeCell ref="D10:D11"/>
    <mergeCell ref="B1:H1"/>
    <mergeCell ref="B12:B13"/>
    <mergeCell ref="A12:A13"/>
    <mergeCell ref="A2:H2"/>
    <mergeCell ref="A21:D21"/>
    <mergeCell ref="A10:A11"/>
    <mergeCell ref="A14:A17"/>
    <mergeCell ref="C10:C11"/>
    <mergeCell ref="B10:B11"/>
    <mergeCell ref="E10:E11"/>
    <mergeCell ref="H10:H11"/>
    <mergeCell ref="A18:A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06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33540001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30794618</v>
      </c>
      <c r="F13" s="39">
        <f>E13*80.79%</f>
        <v/>
      </c>
      <c r="G13" s="39">
        <f>E13-F13</f>
        <v/>
      </c>
      <c r="H13" s="16" t="n"/>
    </row>
    <row r="14" customFormat="1" s="11">
      <c r="A14" s="40" t="n"/>
      <c r="B14" s="40" t="n"/>
      <c r="C14" s="14" t="inlineStr">
        <is>
          <t>VTAD2606001</t>
        </is>
      </c>
      <c r="D14" s="18" t="inlineStr">
        <is>
          <t>Hoàn nhập - Chưa phân loại</t>
        </is>
      </c>
      <c r="E14" s="38" t="n">
        <v>-119</v>
      </c>
      <c r="F14" s="39">
        <f>E14*80.79%</f>
        <v/>
      </c>
      <c r="G14" s="39">
        <f>E14-F14</f>
        <v/>
      </c>
      <c r="H14" s="16" t="n"/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A12:A14"/>
    <mergeCell ref="D10:D11"/>
    <mergeCell ref="B1:H1"/>
    <mergeCell ref="B12:B14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07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E21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886544244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16388489</v>
      </c>
      <c r="F13" s="39">
        <f>E13*80.79%</f>
        <v/>
      </c>
      <c r="G13" s="39">
        <f>E13-F13</f>
        <v/>
      </c>
      <c r="H13" s="16" t="n"/>
    </row>
    <row r="14" customFormat="1" s="11">
      <c r="A14" s="40" t="n"/>
      <c r="B14" s="40" t="n"/>
      <c r="C14" s="14" t="inlineStr">
        <is>
          <t>VTAD2606001</t>
        </is>
      </c>
      <c r="D14" s="18" t="inlineStr">
        <is>
          <t>Hoàn nhập - Hạ thế</t>
        </is>
      </c>
      <c r="E14" s="38" t="n">
        <v>-1403956</v>
      </c>
      <c r="F14" s="39">
        <f>E14*80.79%</f>
        <v/>
      </c>
      <c r="G14" s="39">
        <f>E14-F14</f>
        <v/>
      </c>
      <c r="H14" s="16" t="n"/>
    </row>
    <row r="15" customFormat="1" s="11">
      <c r="A15" s="36" t="n">
        <v>2</v>
      </c>
      <c r="B15" s="37" t="inlineStr">
        <is>
          <t>VTAD2606002 - Sửa chữa lớn FCO, LA năm 2026</t>
        </is>
      </c>
      <c r="C15" s="14" t="inlineStr">
        <is>
          <t>VTAD2606002</t>
        </is>
      </c>
      <c r="D15" s="18" t="inlineStr">
        <is>
          <t>Trung thế</t>
        </is>
      </c>
      <c r="E15" s="38" t="n">
        <v>368361493</v>
      </c>
      <c r="F15" s="39">
        <f>E15*80.79%</f>
        <v/>
      </c>
      <c r="G15" s="39">
        <f>E15-F15</f>
        <v/>
      </c>
      <c r="H15" s="20" t="n"/>
    </row>
    <row r="16">
      <c r="A16" s="40" t="n"/>
      <c r="B16" s="40" t="n"/>
      <c r="C16" s="14" t="inlineStr">
        <is>
          <t>VTAD2606002</t>
        </is>
      </c>
      <c r="D16" s="18" t="inlineStr">
        <is>
          <t>Hạ thế</t>
        </is>
      </c>
      <c r="E16" s="38" t="n">
        <v>186050850</v>
      </c>
      <c r="F16" s="39">
        <f>E16*80.79%</f>
        <v/>
      </c>
      <c r="G16" s="39">
        <f>E16-F16</f>
        <v/>
      </c>
      <c r="H16" s="16" t="n"/>
    </row>
    <row r="17">
      <c r="A17" s="40" t="n"/>
      <c r="B17" s="40" t="n"/>
      <c r="C17" s="14" t="inlineStr">
        <is>
          <t>VTAD2606002</t>
        </is>
      </c>
      <c r="D17" s="18" t="inlineStr">
        <is>
          <t>Hoàn nhập - Chưa phân loại</t>
        </is>
      </c>
      <c r="E17" s="38" t="n">
        <v>-130465000</v>
      </c>
      <c r="F17" s="39">
        <f>E17*80.79%</f>
        <v/>
      </c>
      <c r="G17" s="39">
        <f>E17-F17</f>
        <v/>
      </c>
      <c r="H17" s="16" t="n"/>
    </row>
    <row r="18">
      <c r="A18" s="36" t="n">
        <v>3</v>
      </c>
      <c r="B18" s="37" t="inlineStr">
        <is>
          <t>VTAD2608001 - Sửa chữa lớn Công xa năm 2026</t>
        </is>
      </c>
      <c r="C18" s="14" t="inlineStr">
        <is>
          <t>VTAD2608001</t>
        </is>
      </c>
      <c r="D18" s="18" t="inlineStr">
        <is>
          <t>Trung thế</t>
        </is>
      </c>
      <c r="E18" s="38" t="n">
        <v>0</v>
      </c>
      <c r="F18" s="39">
        <f>E18*80.79%</f>
        <v/>
      </c>
      <c r="G18" s="39">
        <f>E18-F18</f>
        <v/>
      </c>
      <c r="H18" s="20" t="n"/>
    </row>
    <row r="19">
      <c r="A19" s="40" t="n"/>
      <c r="B19" s="40" t="n"/>
      <c r="C19" s="14" t="inlineStr">
        <is>
          <t>VTAD2608001</t>
        </is>
      </c>
      <c r="D19" s="18" t="inlineStr">
        <is>
          <t>Hạ thế</t>
        </is>
      </c>
      <c r="E19" s="38" t="n">
        <v>0</v>
      </c>
      <c r="F19" s="39">
        <f>E19*80.79%</f>
        <v/>
      </c>
      <c r="G19" s="39">
        <f>E19-F19</f>
        <v/>
      </c>
      <c r="H19" s="16" t="n"/>
    </row>
    <row r="20">
      <c r="A20" s="40" t="n"/>
      <c r="B20" s="40" t="n"/>
      <c r="C20" s="14" t="inlineStr">
        <is>
          <t>VTAD2608001</t>
        </is>
      </c>
      <c r="D20" s="18" t="inlineStr">
        <is>
          <t>Hoàn nhập - Chưa phân loại</t>
        </is>
      </c>
      <c r="E20" s="38" t="n">
        <v>-580305556</v>
      </c>
      <c r="F20" s="39">
        <f>E20*80.79%</f>
        <v/>
      </c>
      <c r="G20" s="39">
        <f>E20-F20</f>
        <v/>
      </c>
      <c r="H20" s="16" t="n"/>
    </row>
    <row r="21">
      <c r="A21" s="41" t="inlineStr">
        <is>
          <t>Tổng cộng</t>
        </is>
      </c>
      <c r="B21" s="42" t="n"/>
      <c r="C21" s="42" t="n"/>
      <c r="D21" s="43" t="n"/>
      <c r="E21" s="44">
        <f>SUM(E12:E20)</f>
        <v/>
      </c>
      <c r="F21" s="44">
        <f>SUM(F12:F20)</f>
        <v/>
      </c>
      <c r="G21" s="44">
        <f>SUM(G12:G20)</f>
        <v/>
      </c>
      <c r="H21" s="18" t="n"/>
    </row>
  </sheetData>
  <mergeCells count="15">
    <mergeCell ref="B18:B20"/>
    <mergeCell ref="A12:A14"/>
    <mergeCell ref="D10:D11"/>
    <mergeCell ref="B1:H1"/>
    <mergeCell ref="B12:B14"/>
    <mergeCell ref="A2:H2"/>
    <mergeCell ref="A21:D21"/>
    <mergeCell ref="A10:A11"/>
    <mergeCell ref="A15:A17"/>
    <mergeCell ref="B15:B17"/>
    <mergeCell ref="C10:C11"/>
    <mergeCell ref="B10:B11"/>
    <mergeCell ref="E10:E11"/>
    <mergeCell ref="H10:H11"/>
    <mergeCell ref="A18:A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2026-08-04T03:09:41Z</dcterms:modified>
  <cp:lastModifiedBy>TUAN HOANG MINH</cp:lastModifiedBy>
</cp:coreProperties>
</file>